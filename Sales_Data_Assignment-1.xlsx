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F92C03E-B667-41E1-8DE6-C1482AAEE0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1" l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12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<sst xmlns="http://schemas.openxmlformats.org/spreadsheetml/2006/main" count="52" uniqueCount="35">
  <si>
    <t>Order ID</t>
  </si>
  <si>
    <t>Salesperson</t>
  </si>
  <si>
    <t>City</t>
  </si>
  <si>
    <t>Product</t>
  </si>
  <si>
    <t>Quantity</t>
  </si>
  <si>
    <t>Unit Price</t>
  </si>
  <si>
    <t>Total Sales</t>
  </si>
  <si>
    <t>ORD-001</t>
  </si>
  <si>
    <t>Amit Sharma</t>
  </si>
  <si>
    <t>Delhi</t>
  </si>
  <si>
    <t>Laptop</t>
  </si>
  <si>
    <t>ORD-002</t>
  </si>
  <si>
    <t>Priya Singh</t>
  </si>
  <si>
    <t>Mumbai</t>
  </si>
  <si>
    <t>Mobile</t>
  </si>
  <si>
    <t>ORD-003</t>
  </si>
  <si>
    <t>Rahul Verma</t>
  </si>
  <si>
    <t>Chennai</t>
  </si>
  <si>
    <t>Tablet</t>
  </si>
  <si>
    <t>ORD-004</t>
  </si>
  <si>
    <t>Neha Gupta</t>
  </si>
  <si>
    <t>Pune</t>
  </si>
  <si>
    <t>ORD-005</t>
  </si>
  <si>
    <t>ORD-006</t>
  </si>
  <si>
    <t>ORD-007</t>
  </si>
  <si>
    <t>Rohit Jain</t>
  </si>
  <si>
    <t>Jaipur</t>
  </si>
  <si>
    <t>ORD-008</t>
  </si>
  <si>
    <t>ORD-009</t>
  </si>
  <si>
    <t>ORD-010</t>
  </si>
  <si>
    <t>City Category</t>
  </si>
  <si>
    <t>Performance</t>
  </si>
  <si>
    <t>Commission rate</t>
  </si>
  <si>
    <t>Commission payout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</si>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</sst>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="110" workbookViewId="0">
      <selection activeCell="M10" sqref="M10"/>
    </sheetView>
  </sheetViews>
  <sheetFormatPr defaultRowHeight="14.4" x14ac:dyDescent="0.3"/>
  <cols>
    <col min="1" max="1" width="12.5546875" customWidth="1"/>
    <col min="2" max="2" width="13.21875" customWidth="1"/>
    <col min="7" max="7" width="10.88671875" customWidth="1"/>
    <col min="8" max="8" width="12.33203125" customWidth="1"/>
    <col min="9" max="9" width="13" customWidth="1"/>
    <col min="10" max="10" width="15" customWidth="1"/>
    <col min="11" max="11" width="18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  <c r="I1" s="1" t="s">
        <v>31</v>
      </c>
      <c r="J1" s="1" t="s">
        <v>32</v>
      </c>
      <c r="K1" s="1" t="s">
        <v>33</v>
      </c>
    </row>
    <row r="2" spans="1:11" x14ac:dyDescent="0.3">
      <c r="A2" s="1" t="s">
        <v>7</v>
      </c>
      <c r="B2" s="1" t="s">
        <v>8</v>
      </c>
      <c r="C2" s="1" t="s">
        <v>9</v>
      </c>
      <c r="D2" s="1" t="s">
        <v>10</v>
      </c>
      <c r="E2" s="1">
        <v>2</v>
      </c>
      <c r="F2" s="1">
        <v>45000</v>
      </c>
      <c r="G2" s="1">
        <f>F2*E2</f>
        <v>90000</v>
      </c>
      <c r="H2" s="1" t="str">
        <f>IF(OR(C2="Delhi",C2="Mumbai"),"Metro","Non-Metro")</f>
        <v>Metro</v>
      </c>
      <c r="I2" s="1" t="str">
        <f>IF(G2&gt;80000,"High","Less")</f>
        <v>High</v>
      </c>
      <c r="J2" s="1">
        <f>IF(G2&gt;100000,10%,IF(G2&gt;50000,7%,5%))*100</f>
        <v>7.0000000000000009</v>
      </c>
      <c r="K2" s="1">
        <f>G2*J2</f>
        <v>630000.00000000012</v>
      </c>
    </row>
    <row r="3" spans="1:11" x14ac:dyDescent="0.3">
      <c r="A3" s="1" t="s">
        <v>11</v>
      </c>
      <c r="B3" s="1" t="s">
        <v>12</v>
      </c>
      <c r="C3" s="1" t="s">
        <v>13</v>
      </c>
      <c r="D3" s="1" t="s">
        <v>14</v>
      </c>
      <c r="E3" s="1">
        <v>5</v>
      </c>
      <c r="F3" s="1">
        <v>18000</v>
      </c>
      <c r="G3" s="1">
        <f t="shared" ref="G3:G11" si="0">F3*E3</f>
        <v>90000</v>
      </c>
      <c r="H3" s="1" t="str">
        <f t="shared" ref="H3:H11" si="1">IF(OR(C3="Delhi",C3="Mumbai"),"Metro","Non-Metro")</f>
        <v>Metro</v>
      </c>
      <c r="I3" s="1" t="str">
        <f t="shared" ref="I3:I11" si="2">IF(G3&gt;80000,"High","Less")</f>
        <v>High</v>
      </c>
      <c r="J3" s="1">
        <f t="shared" ref="J3:J11" si="3">IF(G3&gt;100000,10%,IF(G3&gt;50000,7%,5%))*100</f>
        <v>7.0000000000000009</v>
      </c>
      <c r="K3" s="1">
        <f t="shared" ref="K3:K11" si="4">G3*J3</f>
        <v>630000.00000000012</v>
      </c>
    </row>
    <row r="4" spans="1:11" x14ac:dyDescent="0.3">
      <c r="A4" s="1" t="s">
        <v>15</v>
      </c>
      <c r="B4" s="1" t="s">
        <v>16</v>
      </c>
      <c r="C4" s="1" t="s">
        <v>17</v>
      </c>
      <c r="D4" s="1" t="s">
        <v>18</v>
      </c>
      <c r="E4" s="1">
        <v>3</v>
      </c>
      <c r="F4" s="1">
        <v>22000</v>
      </c>
      <c r="G4" s="1">
        <f t="shared" si="0"/>
        <v>66000</v>
      </c>
      <c r="H4" s="1" t="str">
        <f t="shared" si="1"/>
        <v>Non-Metro</v>
      </c>
      <c r="I4" s="1" t="str">
        <f t="shared" si="2"/>
        <v>Less</v>
      </c>
      <c r="J4" s="1">
        <f t="shared" si="3"/>
        <v>7.0000000000000009</v>
      </c>
      <c r="K4" s="1">
        <f t="shared" si="4"/>
        <v>462000.00000000006</v>
      </c>
    </row>
    <row r="5" spans="1:11" x14ac:dyDescent="0.3">
      <c r="A5" s="1" t="s">
        <v>19</v>
      </c>
      <c r="B5" s="1" t="s">
        <v>20</v>
      </c>
      <c r="C5" s="1" t="s">
        <v>21</v>
      </c>
      <c r="D5" s="1" t="s">
        <v>10</v>
      </c>
      <c r="E5" s="1">
        <v>1</v>
      </c>
      <c r="F5" s="1">
        <v>45000</v>
      </c>
      <c r="G5" s="1">
        <f t="shared" si="0"/>
        <v>45000</v>
      </c>
      <c r="H5" s="1" t="str">
        <f t="shared" si="1"/>
        <v>Non-Metro</v>
      </c>
      <c r="I5" s="1" t="str">
        <f t="shared" si="2"/>
        <v>Less</v>
      </c>
      <c r="J5" s="1">
        <f t="shared" si="3"/>
        <v>5</v>
      </c>
      <c r="K5" s="1">
        <f t="shared" si="4"/>
        <v>225000</v>
      </c>
    </row>
    <row r="6" spans="1:11" x14ac:dyDescent="0.3">
      <c r="A6" s="1" t="s">
        <v>22</v>
      </c>
      <c r="B6" s="1" t="s">
        <v>8</v>
      </c>
      <c r="C6" s="1" t="s">
        <v>9</v>
      </c>
      <c r="D6" s="1" t="s">
        <v>14</v>
      </c>
      <c r="E6" s="1">
        <v>4</v>
      </c>
      <c r="F6" s="1">
        <v>18000</v>
      </c>
      <c r="G6" s="1">
        <f t="shared" si="0"/>
        <v>72000</v>
      </c>
      <c r="H6" s="1" t="str">
        <f t="shared" si="1"/>
        <v>Metro</v>
      </c>
      <c r="I6" s="1" t="str">
        <f t="shared" si="2"/>
        <v>Less</v>
      </c>
      <c r="J6" s="1">
        <f t="shared" si="3"/>
        <v>7.0000000000000009</v>
      </c>
      <c r="K6" s="1">
        <f t="shared" si="4"/>
        <v>504000.00000000006</v>
      </c>
    </row>
    <row r="7" spans="1:11" x14ac:dyDescent="0.3">
      <c r="A7" s="1" t="s">
        <v>23</v>
      </c>
      <c r="B7" s="1" t="s">
        <v>12</v>
      </c>
      <c r="C7" s="1" t="s">
        <v>13</v>
      </c>
      <c r="D7" s="1" t="s">
        <v>10</v>
      </c>
      <c r="E7" s="1">
        <v>2</v>
      </c>
      <c r="F7" s="1">
        <v>45000</v>
      </c>
      <c r="G7" s="1">
        <f t="shared" si="0"/>
        <v>90000</v>
      </c>
      <c r="H7" s="1" t="str">
        <f t="shared" si="1"/>
        <v>Metro</v>
      </c>
      <c r="I7" s="1" t="str">
        <f t="shared" si="2"/>
        <v>High</v>
      </c>
      <c r="J7" s="1">
        <f t="shared" si="3"/>
        <v>7.0000000000000009</v>
      </c>
      <c r="K7" s="1">
        <f t="shared" si="4"/>
        <v>630000.00000000012</v>
      </c>
    </row>
    <row r="8" spans="1:11" x14ac:dyDescent="0.3">
      <c r="A8" s="1" t="s">
        <v>24</v>
      </c>
      <c r="B8" s="1" t="s">
        <v>25</v>
      </c>
      <c r="C8" s="1" t="s">
        <v>26</v>
      </c>
      <c r="D8" s="1" t="s">
        <v>18</v>
      </c>
      <c r="E8" s="1">
        <v>6</v>
      </c>
      <c r="F8" s="1">
        <v>22000</v>
      </c>
      <c r="G8" s="1">
        <f t="shared" si="0"/>
        <v>132000</v>
      </c>
      <c r="H8" s="1" t="str">
        <f t="shared" si="1"/>
        <v>Non-Metro</v>
      </c>
      <c r="I8" s="1" t="str">
        <f t="shared" si="2"/>
        <v>High</v>
      </c>
      <c r="J8" s="1">
        <f t="shared" si="3"/>
        <v>10</v>
      </c>
      <c r="K8" s="1">
        <f t="shared" si="4"/>
        <v>1320000</v>
      </c>
    </row>
    <row r="9" spans="1:11" x14ac:dyDescent="0.3">
      <c r="A9" s="1" t="s">
        <v>27</v>
      </c>
      <c r="B9" s="1" t="s">
        <v>20</v>
      </c>
      <c r="C9" s="1" t="s">
        <v>21</v>
      </c>
      <c r="D9" s="1" t="s">
        <v>14</v>
      </c>
      <c r="E9" s="1">
        <v>3</v>
      </c>
      <c r="F9" s="1">
        <v>18000</v>
      </c>
      <c r="G9" s="1">
        <f t="shared" si="0"/>
        <v>54000</v>
      </c>
      <c r="H9" s="1" t="str">
        <f t="shared" si="1"/>
        <v>Non-Metro</v>
      </c>
      <c r="I9" s="1" t="str">
        <f t="shared" si="2"/>
        <v>Less</v>
      </c>
      <c r="J9" s="1">
        <f t="shared" si="3"/>
        <v>7.0000000000000009</v>
      </c>
      <c r="K9" s="1">
        <f t="shared" si="4"/>
        <v>378000.00000000006</v>
      </c>
    </row>
    <row r="10" spans="1:11" x14ac:dyDescent="0.3">
      <c r="A10" s="1" t="s">
        <v>28</v>
      </c>
      <c r="B10" s="1" t="s">
        <v>16</v>
      </c>
      <c r="C10" s="1" t="s">
        <v>17</v>
      </c>
      <c r="D10" s="1" t="s">
        <v>10</v>
      </c>
      <c r="E10" s="1">
        <v>1</v>
      </c>
      <c r="F10" s="1">
        <v>45000</v>
      </c>
      <c r="G10" s="1">
        <f t="shared" si="0"/>
        <v>45000</v>
      </c>
      <c r="H10" s="1" t="str">
        <f t="shared" si="1"/>
        <v>Non-Metro</v>
      </c>
      <c r="I10" s="1" t="str">
        <f t="shared" si="2"/>
        <v>Less</v>
      </c>
      <c r="J10" s="1">
        <f t="shared" si="3"/>
        <v>5</v>
      </c>
      <c r="K10" s="1">
        <f t="shared" si="4"/>
        <v>225000</v>
      </c>
    </row>
    <row r="11" spans="1:11" x14ac:dyDescent="0.3">
      <c r="A11" s="1" t="s">
        <v>29</v>
      </c>
      <c r="B11" s="1" t="s">
        <v>25</v>
      </c>
      <c r="C11" s="1" t="s">
        <v>26</v>
      </c>
      <c r="D11" s="1" t="s">
        <v>14</v>
      </c>
      <c r="E11" s="1">
        <v>2</v>
      </c>
      <c r="F11" s="1">
        <v>18000</v>
      </c>
      <c r="G11" s="1">
        <f t="shared" si="0"/>
        <v>36000</v>
      </c>
      <c r="H11" s="1" t="str">
        <f t="shared" si="1"/>
        <v>Non-Metro</v>
      </c>
      <c r="I11" s="1" t="str">
        <f t="shared" si="2"/>
        <v>Less</v>
      </c>
      <c r="J11" s="1">
        <f t="shared" si="3"/>
        <v>5</v>
      </c>
      <c r="K11" s="1">
        <f t="shared" si="4"/>
        <v>180000</v>
      </c>
    </row>
    <row r="12" spans="1:11" x14ac:dyDescent="0.3">
      <c r="A12" s="1"/>
      <c r="B12" s="1"/>
      <c r="C12" s="1"/>
      <c r="D12" s="1"/>
      <c r="E12" s="1"/>
      <c r="F12" s="1"/>
      <c r="G12" s="1">
        <f>SUM(G2:G11)</f>
        <v>720000</v>
      </c>
      <c r="H12" s="1"/>
      <c r="I12" s="1"/>
      <c r="J12" s="1" t="s">
        <v>34</v>
      </c>
      <c r="K12" s="1">
        <f>SUM(K2:K11)</f>
        <v>5184000</v>
      </c>
    </row>
  </sheetData>
  <conditionalFormatting sqref="I2:I11">
    <cfRule type="cellIs" dxfId="1" priority="1" operator="equal">
      <formula>"High"</formula>
    </cfRule>
  </conditionalFormatting>
  <conditionalFormatting sqref="J2:J11">
    <cfRule type="cellIs" dxfId="0" priority="2" operator="equal">
      <formula>"High"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Atul kumar</cp:lastModifiedBy>
  <dcterms:created xsi:type="dcterms:W3CDTF">2026-06-17T16:54:44Z</dcterms:created>
  <dcterms:modified xsi:type="dcterms:W3CDTF">2026-06-19T09:48:46Z</dcterms:modified>
</cp:coreProperties>
</file>